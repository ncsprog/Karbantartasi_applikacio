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"/>
    </mc:Choice>
  </mc:AlternateContent>
  <bookViews>
    <workbookView xWindow="0" yWindow="0" windowWidth="23040" windowHeight="9072"/>
  </bookViews>
  <sheets>
    <sheet name="adatok" sheetId="1" r:id="rId1"/>
    <sheet name="névsor" sheetId="3" r:id="rId2"/>
    <sheet name="transfer" sheetId="6" r:id="rId3"/>
    <sheet name="Létszám" sheetId="7" r:id="rId4"/>
  </sheets>
  <definedNames>
    <definedName name="_xlnm._FilterDatabase" localSheetId="0" hidden="1">adatok!$A$1:$W$26</definedName>
    <definedName name="_xlnm._FilterDatabase" localSheetId="1" hidden="1">névsor!$A$1:$B$59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2" i="1"/>
</calcChain>
</file>

<file path=xl/sharedStrings.xml><?xml version="1.0" encoding="utf-8"?>
<sst xmlns="http://schemas.openxmlformats.org/spreadsheetml/2006/main" count="596" uniqueCount="178">
  <si>
    <t>dátum</t>
  </si>
  <si>
    <t>gép</t>
  </si>
  <si>
    <t>kulcsgép</t>
  </si>
  <si>
    <t>műszak</t>
  </si>
  <si>
    <t>tól</t>
  </si>
  <si>
    <t>ig</t>
  </si>
  <si>
    <t>probléma</t>
  </si>
  <si>
    <t>megoldás</t>
  </si>
  <si>
    <t>státusz</t>
  </si>
  <si>
    <t>mérés</t>
  </si>
  <si>
    <t>terület</t>
  </si>
  <si>
    <t>felelős</t>
  </si>
  <si>
    <t>becsült dátum</t>
  </si>
  <si>
    <t>igazolt dátum</t>
  </si>
  <si>
    <t>tény dátum</t>
  </si>
  <si>
    <t>idő</t>
  </si>
  <si>
    <t>ID</t>
  </si>
  <si>
    <t>ID#</t>
  </si>
  <si>
    <t>bárcaszám</t>
  </si>
  <si>
    <t>munkaszám</t>
  </si>
  <si>
    <t>rábaszám</t>
  </si>
  <si>
    <t>csapat</t>
  </si>
  <si>
    <t/>
  </si>
  <si>
    <t>igen</t>
  </si>
  <si>
    <t>n/a</t>
  </si>
  <si>
    <t>9049</t>
  </si>
  <si>
    <t>1234</t>
  </si>
  <si>
    <t>9874</t>
  </si>
  <si>
    <t>GÉP</t>
  </si>
  <si>
    <t>KULCS</t>
  </si>
  <si>
    <t>67000</t>
  </si>
  <si>
    <t>Team 1</t>
  </si>
  <si>
    <t>MŰSZAK</t>
  </si>
  <si>
    <t>Hibás szalllag</t>
  </si>
  <si>
    <t>Szalllagot ki kellett cserélni</t>
  </si>
  <si>
    <t>Mehet</t>
  </si>
  <si>
    <t>nincs</t>
  </si>
  <si>
    <t>vatta</t>
  </si>
  <si>
    <t>1425</t>
  </si>
  <si>
    <t>Team 2</t>
  </si>
  <si>
    <t>Szalllag viszárul megy</t>
  </si>
  <si>
    <t>Szallagot fejtetőre szerelni</t>
  </si>
  <si>
    <t>Folyamatban</t>
  </si>
  <si>
    <t>9099</t>
  </si>
  <si>
    <t>7485</t>
  </si>
  <si>
    <t>8574</t>
  </si>
  <si>
    <t>28000</t>
  </si>
  <si>
    <t>TPM</t>
  </si>
  <si>
    <t>A Sanyi nem érte el a polcot</t>
  </si>
  <si>
    <t>Sanyit megemeltük egy székkel</t>
  </si>
  <si>
    <t>Sanyi leesett</t>
  </si>
  <si>
    <t>Sanyi begipszelve</t>
  </si>
  <si>
    <t>Bélabá'</t>
  </si>
  <si>
    <t>mához 2 hét</t>
  </si>
  <si>
    <t>Szallagot fejtetőre szerelni, eddig nem sikerület, mert a Sanyi leesett a székről</t>
  </si>
  <si>
    <t>Kilátástalan</t>
  </si>
  <si>
    <t>8555</t>
  </si>
  <si>
    <t>1452</t>
  </si>
  <si>
    <t>Kovács</t>
  </si>
  <si>
    <t>Nincs itt Béla.</t>
  </si>
  <si>
    <t>Ide hoztuk Bélát</t>
  </si>
  <si>
    <t>Béla itt van</t>
  </si>
  <si>
    <t>Nedvesi Csaba Péter</t>
  </si>
  <si>
    <t>Németh Szilárd</t>
  </si>
  <si>
    <t>Karbantartási vetező</t>
  </si>
  <si>
    <t>Csorba Dávid</t>
  </si>
  <si>
    <t>Karbantartás II team vez.</t>
  </si>
  <si>
    <t>Kiss Máté</t>
  </si>
  <si>
    <t>Futómű üzemi mérnők</t>
  </si>
  <si>
    <t>Haik Dávid</t>
  </si>
  <si>
    <t>Takács Róbert</t>
  </si>
  <si>
    <t>Kovács üzemi mérnők</t>
  </si>
  <si>
    <t>Karbantartás Raktárvezető</t>
  </si>
  <si>
    <t>Toth Sándor</t>
  </si>
  <si>
    <t>Cellavezető</t>
  </si>
  <si>
    <t>Oláh Pál</t>
  </si>
  <si>
    <t>Villanyszerelő</t>
  </si>
  <si>
    <t>Dinya Zsolt</t>
  </si>
  <si>
    <t>Dinya Tamás</t>
  </si>
  <si>
    <t>Börzsei Csaba</t>
  </si>
  <si>
    <t>Gajdos Péter</t>
  </si>
  <si>
    <t>Üzemi vill. mérnők</t>
  </si>
  <si>
    <t>Kónyi István</t>
  </si>
  <si>
    <t>Endresz László</t>
  </si>
  <si>
    <t>Géplakatos</t>
  </si>
  <si>
    <t>Seer Dénes</t>
  </si>
  <si>
    <t>Kopócs Sándor</t>
  </si>
  <si>
    <t>Nagy Ádám</t>
  </si>
  <si>
    <t>Etl Antal Attila</t>
  </si>
  <si>
    <t>Nyári Alex</t>
  </si>
  <si>
    <t>Kovács László</t>
  </si>
  <si>
    <t>Schreiner Róbert</t>
  </si>
  <si>
    <t>Takács Tivadar</t>
  </si>
  <si>
    <t>Csapó Gyula</t>
  </si>
  <si>
    <t>Lakatos</t>
  </si>
  <si>
    <t>Hüttner Richárd</t>
  </si>
  <si>
    <t>Kovács József</t>
  </si>
  <si>
    <t>Leszkovics Béla</t>
  </si>
  <si>
    <t>Nagy Attila</t>
  </si>
  <si>
    <t>Orsós Márk Kevin</t>
  </si>
  <si>
    <t>Szabó Erik</t>
  </si>
  <si>
    <t>Szokolics László</t>
  </si>
  <si>
    <t>Takács József</t>
  </si>
  <si>
    <t>Varga Zsolt</t>
  </si>
  <si>
    <t>Vellner László</t>
  </si>
  <si>
    <t>Polgár Tamás</t>
  </si>
  <si>
    <t>Wukitsevits Péter</t>
  </si>
  <si>
    <t>Hőkezelő villanyszerelő</t>
  </si>
  <si>
    <t>Bedők Imre</t>
  </si>
  <si>
    <t>Hőkezelő lakatos</t>
  </si>
  <si>
    <t>Tibold Imre</t>
  </si>
  <si>
    <t>Németh Károly</t>
  </si>
  <si>
    <t>Üzemeltető villanyszerelő</t>
  </si>
  <si>
    <t>Vindisch Sándor</t>
  </si>
  <si>
    <t>Berki Balázs</t>
  </si>
  <si>
    <t>Dénes András</t>
  </si>
  <si>
    <t>Villamos mérnök</t>
  </si>
  <si>
    <t>Kardos Szilárd</t>
  </si>
  <si>
    <t>Krajcserik László István</t>
  </si>
  <si>
    <t>Szabó Ladislav</t>
  </si>
  <si>
    <t>Szakál Lajos</t>
  </si>
  <si>
    <t>Autóvill. Szerelő</t>
  </si>
  <si>
    <t>Sándor István</t>
  </si>
  <si>
    <t>Szécsi Mihály</t>
  </si>
  <si>
    <t>Szigeti Sándor</t>
  </si>
  <si>
    <t>Körmendi István</t>
  </si>
  <si>
    <t>Molnár László</t>
  </si>
  <si>
    <t>Babos László</t>
  </si>
  <si>
    <t>Farkas Lajos</t>
  </si>
  <si>
    <t>Tóth Béla</t>
  </si>
  <si>
    <t>Takács Dávid</t>
  </si>
  <si>
    <t>TPM Koordinátor</t>
  </si>
  <si>
    <t>Mákk Zoltán</t>
  </si>
  <si>
    <t>Varga László</t>
  </si>
  <si>
    <t>Fodor Krisztián</t>
  </si>
  <si>
    <t>Németh Gábor</t>
  </si>
  <si>
    <t>Név</t>
  </si>
  <si>
    <t>Pozíció</t>
  </si>
  <si>
    <t>Bárcaszám</t>
  </si>
  <si>
    <t>megjegyzés</t>
  </si>
  <si>
    <t>0,583333333333333</t>
  </si>
  <si>
    <t>0,708333333333333</t>
  </si>
  <si>
    <t xml:space="preserve"> n/a </t>
  </si>
  <si>
    <t>dfd</t>
  </si>
  <si>
    <t>Dátum</t>
  </si>
  <si>
    <t>5</t>
  </si>
  <si>
    <t>HJ</t>
  </si>
  <si>
    <t>Délelőtt - Team 1. - Mérnök</t>
  </si>
  <si>
    <t>Délelőtt - Team 2. - Mérnök</t>
  </si>
  <si>
    <t>Délelőtt - Team 3. - Mérnök</t>
  </si>
  <si>
    <t>Délelőtt - Team 1. - Lakatos</t>
  </si>
  <si>
    <t>Délelőtt - Team 2. - Lakatos</t>
  </si>
  <si>
    <t>Délelőtt - Team 3. - Lakatos</t>
  </si>
  <si>
    <t>Délelőtt - Team 1. - Villanyszerelő</t>
  </si>
  <si>
    <t>Délelőtt - Team 2. - Villanyszerelő</t>
  </si>
  <si>
    <t>Délelőtt - Team 3. - Villanyszerelő</t>
  </si>
  <si>
    <t>Délután - Team 1. - Mérnök</t>
  </si>
  <si>
    <t>Délután - Team 2. - Mérnök</t>
  </si>
  <si>
    <t>Délután - Team 3. - Mérnök</t>
  </si>
  <si>
    <t>Délután - Team 1. - Lakatos</t>
  </si>
  <si>
    <t>Délután - Team 2. - Lakatos</t>
  </si>
  <si>
    <t>Délután - Team 3. - Lakatos</t>
  </si>
  <si>
    <t>Délután - Team 1. - Villanyszerelő</t>
  </si>
  <si>
    <t>Délután - Team 2. - Villanyszerelő</t>
  </si>
  <si>
    <t>Délután - Team 3. - Villanyszerelő</t>
  </si>
  <si>
    <t>Éjjel - Team 1. - Mérnök</t>
  </si>
  <si>
    <t>Éjjel - Team 2. - Mérnök</t>
  </si>
  <si>
    <t>Éjjel - Team 3. - Mérnök</t>
  </si>
  <si>
    <t>Éjjel - Team 1. - Lakatos</t>
  </si>
  <si>
    <t>Éjjel - Team 2. - Lakatos</t>
  </si>
  <si>
    <t>Éjjel - Team 3. - Lakatos</t>
  </si>
  <si>
    <t>Éjjel - Team 1. - Villanyszerelő</t>
  </si>
  <si>
    <t>Éjjel - Team 2. - Villanyszerelő</t>
  </si>
  <si>
    <t>Éjjel - Team 3. - Villanyszerelő</t>
  </si>
  <si>
    <t xml:space="preserve"> - TPM - Mérnök</t>
  </si>
  <si>
    <t xml:space="preserve"> - TPM - Lakatos</t>
  </si>
  <si>
    <t xml:space="preserve"> - TPM - Villanyaszerelő</t>
  </si>
  <si>
    <t>ID_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</si>
</sst>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\ hh:mm:ss"/>
    <numFmt numFmtId="165" formatCode="[$-F400]h:mm:ss\ AM/PM"/>
  </numFmts>
  <fonts count="3" x14ac:knownFonts="1">
    <font>
      <sz val="11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Arial"/>
      <family val="2"/>
      <charset val="23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1" fillId="0" borderId="0" xfId="0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22" fontId="1" fillId="0" borderId="0" xfId="0" applyNumberFormat="1" applyFont="1" applyFill="1" applyAlignment="1">
      <alignment horizontal="center" vertical="center"/>
    </xf>
    <xf numFmtId="20" fontId="1" fillId="0" borderId="0" xfId="0" applyNumberFormat="1" applyFont="1" applyFill="1" applyAlignment="1">
      <alignment horizontal="center" vertical="center"/>
    </xf>
    <xf numFmtId="0" fontId="0" fillId="0" borderId="0" xfId="0" applyFont="1"/>
    <xf numFmtId="0" fontId="0" fillId="0" borderId="0" xfId="0" applyBorder="1"/>
    <xf numFmtId="14" fontId="0" fillId="0" borderId="0" xfId="0" applyNumberFormat="1" applyBorder="1"/>
    <xf numFmtId="1" fontId="0" fillId="0" borderId="0" xfId="0" applyNumberFormat="1" applyBorder="1"/>
    <xf numFmtId="22" fontId="0" fillId="0" borderId="0" xfId="0" applyNumberFormat="1" applyBorder="1"/>
    <xf numFmtId="14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0" xfId="0" applyNumberFormat="1" applyFont="1" applyFill="1" applyBorder="1" applyAlignment="1">
      <alignment horizontal="center" vertical="center" wrapText="1"/>
    </xf>
    <xf numFmtId="1" fontId="2" fillId="0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Border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Y28"/>
  <sheetViews>
    <sheetView tabSelected="1" topLeftCell="P1" workbookViewId="0">
      <selection activeCell="W17" sqref="W17"/>
    </sheetView>
  </sheetViews>
  <sheetFormatPr defaultColWidth="8.69921875" defaultRowHeight="13.2" x14ac:dyDescent="0.25"/>
  <cols>
    <col min="1" max="1" width="2.59765625" style="3" bestFit="1" customWidth="1"/>
    <col min="2" max="3" width="8.8984375" style="3" bestFit="1" customWidth="1"/>
    <col min="4" max="4" width="9.69921875" style="3" bestFit="1" customWidth="1"/>
    <col min="5" max="5" width="8" style="3" bestFit="1" customWidth="1"/>
    <col min="6" max="6" width="4.3984375" style="3" bestFit="1" customWidth="1"/>
    <col min="7" max="7" width="7.3984375" style="3" bestFit="1" customWidth="1"/>
    <col min="8" max="8" width="6.09765625" style="3" bestFit="1" customWidth="1"/>
    <col min="9" max="9" width="6.19921875" style="3" bestFit="1" customWidth="1"/>
    <col min="10" max="11" width="7.09765625" style="4" bestFit="1" customWidth="1"/>
    <col min="12" max="13" width="7.59765625" style="3" bestFit="1" customWidth="1"/>
    <col min="14" max="14" width="21.8984375" style="3" bestFit="1" customWidth="1"/>
    <col min="15" max="15" width="59.3984375" style="3" bestFit="1" customWidth="1"/>
    <col min="16" max="16" width="14" style="3" bestFit="1" customWidth="1"/>
    <col min="17" max="17" width="5.3984375" style="3" bestFit="1" customWidth="1"/>
    <col min="18" max="18" width="6.09765625" style="3" bestFit="1" customWidth="1"/>
    <col min="19" max="19" width="11.09765625" style="3" bestFit="1" customWidth="1"/>
    <col min="20" max="20" width="10.59765625" style="3" bestFit="1" customWidth="1"/>
    <col min="21" max="21" width="9" style="3" bestFit="1" customWidth="1"/>
    <col min="22" max="22" width="9" style="3" customWidth="1"/>
    <col min="23" max="23" width="16.09765625" style="5" bestFit="1" customWidth="1"/>
    <col min="24" max="24" width="8.69921875" style="3"/>
    <col min="25" max="25" width="12.69921875" style="3" bestFit="1" customWidth="1"/>
    <col min="26" max="16384" width="8.69921875" style="3"/>
  </cols>
  <sheetData>
    <row r="1" spans="1:25" x14ac:dyDescent="0.25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4" t="s">
        <v>4</v>
      </c>
      <c r="K1" s="4" t="s">
        <v>5</v>
      </c>
      <c r="L1" s="3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139</v>
      </c>
      <c r="W1" s="5" t="s">
        <v>17</v>
      </c>
    </row>
    <row r="2" spans="1:25" x14ac:dyDescent="0.25">
      <c r="A2" s="3">
        <v>0</v>
      </c>
      <c r="B2" s="3">
        <v>0</v>
      </c>
      <c r="C2" s="6">
        <v>0</v>
      </c>
      <c r="D2" s="3">
        <v>0</v>
      </c>
      <c r="E2" s="3">
        <v>0</v>
      </c>
      <c r="F2" s="3" t="s">
        <v>24</v>
      </c>
      <c r="G2" s="3" t="s">
        <v>24</v>
      </c>
      <c r="H2" s="3" t="s">
        <v>24</v>
      </c>
      <c r="I2" s="3" t="s">
        <v>24</v>
      </c>
      <c r="J2" s="4">
        <v>0</v>
      </c>
      <c r="K2" s="4">
        <v>0</v>
      </c>
      <c r="L2" s="4">
        <f>IF(J7&gt;K7,$Y$2+K7-J7-$Y$3,K7-J7)</f>
        <v>0.125</v>
      </c>
      <c r="M2" s="3" t="s">
        <v>24</v>
      </c>
      <c r="N2" s="3" t="s">
        <v>24</v>
      </c>
      <c r="O2" s="3" t="s">
        <v>24</v>
      </c>
      <c r="P2" s="3" t="s">
        <v>24</v>
      </c>
      <c r="Q2" s="3" t="s">
        <v>24</v>
      </c>
      <c r="R2" s="3" t="s">
        <v>24</v>
      </c>
      <c r="S2" s="3">
        <v>0</v>
      </c>
      <c r="T2" s="3">
        <v>0</v>
      </c>
      <c r="U2" s="3">
        <v>0</v>
      </c>
      <c r="V2" s="3">
        <v>0</v>
      </c>
      <c r="W2" s="5">
        <v>0</v>
      </c>
      <c r="Y2" s="7">
        <v>1.0069444444444444</v>
      </c>
    </row>
    <row r="3" spans="1:25" x14ac:dyDescent="0.25">
      <c r="A3" s="3">
        <v>1</v>
      </c>
      <c r="B3" s="3" t="s">
        <v>25</v>
      </c>
      <c r="C3" s="6">
        <v>44688</v>
      </c>
      <c r="D3" s="3" t="s">
        <v>26</v>
      </c>
      <c r="E3" s="3" t="s">
        <v>27</v>
      </c>
      <c r="F3" s="3" t="s">
        <v>28</v>
      </c>
      <c r="G3" s="3" t="s">
        <v>29</v>
      </c>
      <c r="H3" s="3" t="s">
        <v>30</v>
      </c>
      <c r="I3" s="3" t="s">
        <v>31</v>
      </c>
      <c r="J3" s="4">
        <v>0.25</v>
      </c>
      <c r="K3" s="4">
        <v>0.70833333333333337</v>
      </c>
      <c r="L3" s="4">
        <f t="shared" ref="L3:L18" si="0">IF(J8&gt;K8,$Y$2+K8-J8-$Y$3,K8-J8)</f>
        <v>0.27708333333333335</v>
      </c>
      <c r="M3" s="3" t="s">
        <v>32</v>
      </c>
      <c r="N3" s="3" t="s">
        <v>33</v>
      </c>
      <c r="O3" s="3" t="s">
        <v>34</v>
      </c>
      <c r="P3" s="3" t="s">
        <v>35</v>
      </c>
      <c r="Q3" s="3" t="s">
        <v>36</v>
      </c>
      <c r="R3" s="3" t="s">
        <v>37</v>
      </c>
      <c r="S3" s="3" t="s">
        <v>37</v>
      </c>
      <c r="T3" s="3" t="s">
        <v>37</v>
      </c>
      <c r="U3" s="3" t="s">
        <v>37</v>
      </c>
      <c r="V3" s="3" t="s">
        <v>24</v>
      </c>
      <c r="W3" s="5">
        <v>44692.388032407405</v>
      </c>
      <c r="Y3" s="8">
        <v>6.9444444444444441E-3</v>
      </c>
    </row>
    <row r="4" spans="1:25" x14ac:dyDescent="0.25">
      <c r="A4" s="3">
        <v>2</v>
      </c>
      <c r="B4" s="3" t="s">
        <v>25</v>
      </c>
      <c r="C4" s="6">
        <v>44688</v>
      </c>
      <c r="D4" s="3" t="s">
        <v>38</v>
      </c>
      <c r="E4" s="3" t="s">
        <v>27</v>
      </c>
      <c r="F4" s="3" t="s">
        <v>28</v>
      </c>
      <c r="G4" s="3" t="s">
        <v>29</v>
      </c>
      <c r="H4" s="3" t="s">
        <v>30</v>
      </c>
      <c r="I4" s="3" t="s">
        <v>39</v>
      </c>
      <c r="J4" s="4">
        <v>0.58333333333333337</v>
      </c>
      <c r="K4" s="4">
        <v>0.70833333333333337</v>
      </c>
      <c r="L4" s="4">
        <f t="shared" si="0"/>
        <v>0.125</v>
      </c>
      <c r="M4" s="3" t="s">
        <v>32</v>
      </c>
      <c r="N4" s="3" t="s">
        <v>40</v>
      </c>
      <c r="O4" s="3" t="s">
        <v>41</v>
      </c>
      <c r="P4" s="3" t="s">
        <v>42</v>
      </c>
      <c r="Q4" s="3" t="s">
        <v>36</v>
      </c>
      <c r="R4" s="3" t="s">
        <v>37</v>
      </c>
      <c r="S4" s="3" t="s">
        <v>37</v>
      </c>
      <c r="T4" s="3" t="s">
        <v>37</v>
      </c>
      <c r="U4" s="3" t="s">
        <v>37</v>
      </c>
      <c r="V4" s="3" t="s">
        <v>24</v>
      </c>
      <c r="W4" s="5">
        <v>44692.389652777776</v>
      </c>
    </row>
    <row r="5" spans="1:25" x14ac:dyDescent="0.25">
      <c r="A5" s="3">
        <v>3</v>
      </c>
      <c r="B5" s="3" t="s">
        <v>43</v>
      </c>
      <c r="C5" s="6">
        <v>44692</v>
      </c>
      <c r="D5" s="3" t="s">
        <v>44</v>
      </c>
      <c r="E5" s="3" t="s">
        <v>45</v>
      </c>
      <c r="F5" s="3" t="s">
        <v>28</v>
      </c>
      <c r="G5" s="3" t="s">
        <v>29</v>
      </c>
      <c r="H5" s="3" t="s">
        <v>46</v>
      </c>
      <c r="I5" s="3" t="s">
        <v>47</v>
      </c>
      <c r="J5" s="4">
        <v>0.21666666666666667</v>
      </c>
      <c r="K5" s="4">
        <v>0.50347222222222221</v>
      </c>
      <c r="L5" s="4">
        <f t="shared" si="0"/>
        <v>0.28680555555555554</v>
      </c>
      <c r="M5" s="3" t="s">
        <v>32</v>
      </c>
      <c r="N5" s="3" t="s">
        <v>48</v>
      </c>
      <c r="O5" s="3" t="s">
        <v>49</v>
      </c>
      <c r="P5" s="3" t="s">
        <v>50</v>
      </c>
      <c r="Q5" s="3" t="s">
        <v>36</v>
      </c>
      <c r="R5" s="3" t="s">
        <v>37</v>
      </c>
      <c r="S5" s="3" t="s">
        <v>37</v>
      </c>
      <c r="T5" s="3" t="s">
        <v>37</v>
      </c>
      <c r="U5" s="3" t="s">
        <v>37</v>
      </c>
      <c r="V5" s="3" t="s">
        <v>24</v>
      </c>
      <c r="W5" s="5">
        <v>44692.390451388892</v>
      </c>
    </row>
    <row r="6" spans="1:25" x14ac:dyDescent="0.25">
      <c r="A6" s="3">
        <v>4</v>
      </c>
      <c r="B6" s="3" t="s">
        <v>43</v>
      </c>
      <c r="C6" s="6">
        <v>44692</v>
      </c>
      <c r="D6" s="3" t="s">
        <v>44</v>
      </c>
      <c r="E6" s="3" t="s">
        <v>45</v>
      </c>
      <c r="F6" s="3" t="s">
        <v>28</v>
      </c>
      <c r="G6" s="3" t="s">
        <v>29</v>
      </c>
      <c r="H6" s="3" t="s">
        <v>46</v>
      </c>
      <c r="I6" s="3" t="s">
        <v>47</v>
      </c>
      <c r="J6" s="4">
        <v>0.21666666666666667</v>
      </c>
      <c r="K6" s="4">
        <v>0.50347222222222221</v>
      </c>
      <c r="L6" s="4">
        <f t="shared" si="0"/>
        <v>0.28680555555555554</v>
      </c>
      <c r="M6" s="3" t="s">
        <v>32</v>
      </c>
      <c r="N6" s="3" t="s">
        <v>48</v>
      </c>
      <c r="O6" s="3" t="s">
        <v>49</v>
      </c>
      <c r="P6" s="3" t="s">
        <v>51</v>
      </c>
      <c r="Q6" s="3" t="s">
        <v>36</v>
      </c>
      <c r="R6" s="3" t="s">
        <v>52</v>
      </c>
      <c r="S6" s="3" t="s">
        <v>53</v>
      </c>
      <c r="T6" s="3" t="s">
        <v>22</v>
      </c>
      <c r="U6" s="3" t="s">
        <v>22</v>
      </c>
      <c r="V6" s="3" t="s">
        <v>24</v>
      </c>
      <c r="W6" s="5">
        <v>44692.391076388885</v>
      </c>
    </row>
    <row r="7" spans="1:25" x14ac:dyDescent="0.25">
      <c r="A7" s="3">
        <v>5</v>
      </c>
      <c r="B7" s="3" t="s">
        <v>25</v>
      </c>
      <c r="C7" s="6">
        <v>44692</v>
      </c>
      <c r="D7" s="3" t="s">
        <v>38</v>
      </c>
      <c r="E7" s="3" t="s">
        <v>27</v>
      </c>
      <c r="F7" s="3" t="s">
        <v>28</v>
      </c>
      <c r="G7" s="3" t="s">
        <v>29</v>
      </c>
      <c r="H7" s="3" t="s">
        <v>30</v>
      </c>
      <c r="I7" s="3" t="s">
        <v>39</v>
      </c>
      <c r="J7" s="4">
        <v>0.58333333333333337</v>
      </c>
      <c r="K7" s="4">
        <v>0.70833333333333337</v>
      </c>
      <c r="L7" s="4">
        <f t="shared" si="0"/>
        <v>0.125</v>
      </c>
      <c r="M7" s="3" t="s">
        <v>32</v>
      </c>
      <c r="N7" s="3" t="s">
        <v>40</v>
      </c>
      <c r="O7" s="3" t="s">
        <v>54</v>
      </c>
      <c r="P7" s="3" t="s">
        <v>42</v>
      </c>
      <c r="Q7" s="3" t="s">
        <v>36</v>
      </c>
      <c r="R7" s="3" t="s">
        <v>52</v>
      </c>
      <c r="S7" s="3" t="s">
        <v>55</v>
      </c>
      <c r="T7" s="3" t="s">
        <v>22</v>
      </c>
      <c r="U7" s="3" t="s">
        <v>22</v>
      </c>
      <c r="V7" s="3" t="s">
        <v>24</v>
      </c>
      <c r="W7" s="5">
        <v>44692.392245370371</v>
      </c>
    </row>
    <row r="8" spans="1:25" x14ac:dyDescent="0.25">
      <c r="A8" s="3">
        <v>6</v>
      </c>
      <c r="B8" s="3" t="s">
        <v>25</v>
      </c>
      <c r="C8" s="6">
        <v>44692</v>
      </c>
      <c r="D8" s="3" t="s">
        <v>56</v>
      </c>
      <c r="E8" s="3" t="s">
        <v>57</v>
      </c>
      <c r="F8" s="3" t="s">
        <v>28</v>
      </c>
      <c r="G8" s="3" t="s">
        <v>29</v>
      </c>
      <c r="H8" s="3" t="s">
        <v>58</v>
      </c>
      <c r="I8" s="3" t="s">
        <v>47</v>
      </c>
      <c r="J8" s="4">
        <v>0.23958333333333334</v>
      </c>
      <c r="K8" s="4">
        <v>0.51666666666666672</v>
      </c>
      <c r="L8" s="4">
        <f t="shared" si="0"/>
        <v>0.27708333333333335</v>
      </c>
      <c r="M8" s="3" t="s">
        <v>32</v>
      </c>
      <c r="N8" s="3" t="s">
        <v>59</v>
      </c>
      <c r="O8" s="3" t="s">
        <v>60</v>
      </c>
      <c r="P8" s="3" t="s">
        <v>61</v>
      </c>
      <c r="Q8" s="3" t="s">
        <v>23</v>
      </c>
      <c r="R8" s="3" t="s">
        <v>37</v>
      </c>
      <c r="S8" s="3" t="s">
        <v>37</v>
      </c>
      <c r="T8" s="3" t="s">
        <v>37</v>
      </c>
      <c r="U8" s="3" t="s">
        <v>37</v>
      </c>
      <c r="V8" s="3" t="s">
        <v>24</v>
      </c>
      <c r="W8" s="5">
        <v>44692.394629629627</v>
      </c>
    </row>
    <row r="9" spans="1:25" x14ac:dyDescent="0.25">
      <c r="A9" s="3">
        <v>7</v>
      </c>
      <c r="B9" s="3" t="s">
        <v>25</v>
      </c>
      <c r="C9" s="6">
        <v>44690</v>
      </c>
      <c r="D9" s="3" t="s">
        <v>38</v>
      </c>
      <c r="E9" s="3" t="s">
        <v>27</v>
      </c>
      <c r="F9" s="3" t="s">
        <v>28</v>
      </c>
      <c r="G9" s="3" t="s">
        <v>29</v>
      </c>
      <c r="H9" s="3" t="s">
        <v>30</v>
      </c>
      <c r="I9" s="3" t="s">
        <v>39</v>
      </c>
      <c r="J9" s="4">
        <v>0.58333333333333337</v>
      </c>
      <c r="K9" s="4">
        <v>0.70833333333333337</v>
      </c>
      <c r="L9" s="4">
        <f t="shared" si="0"/>
        <v>0.125</v>
      </c>
      <c r="M9" s="3" t="s">
        <v>32</v>
      </c>
      <c r="N9" s="3" t="s">
        <v>40</v>
      </c>
      <c r="O9" s="3" t="s">
        <v>41</v>
      </c>
      <c r="P9" s="3" t="s">
        <v>42</v>
      </c>
      <c r="Q9" s="3" t="s">
        <v>36</v>
      </c>
      <c r="R9" s="3" t="s">
        <v>37</v>
      </c>
      <c r="S9" s="3" t="s">
        <v>37</v>
      </c>
      <c r="T9" s="3" t="s">
        <v>37</v>
      </c>
      <c r="U9" s="3" t="s">
        <v>37</v>
      </c>
      <c r="V9" s="3" t="s">
        <v>24</v>
      </c>
      <c r="W9" s="5">
        <v>44692.389652777776</v>
      </c>
    </row>
    <row r="10" spans="1:25" x14ac:dyDescent="0.25">
      <c r="A10" s="3">
        <v>8</v>
      </c>
      <c r="B10" s="3" t="s">
        <v>43</v>
      </c>
      <c r="C10" s="6">
        <v>44692</v>
      </c>
      <c r="D10" s="3" t="s">
        <v>44</v>
      </c>
      <c r="E10" s="3" t="s">
        <v>45</v>
      </c>
      <c r="F10" s="3" t="s">
        <v>28</v>
      </c>
      <c r="G10" s="3" t="s">
        <v>29</v>
      </c>
      <c r="H10" s="3" t="s">
        <v>46</v>
      </c>
      <c r="I10" s="3" t="s">
        <v>47</v>
      </c>
      <c r="J10" s="4">
        <v>0.21666666666666667</v>
      </c>
      <c r="K10" s="4">
        <v>0.50347222222222221</v>
      </c>
      <c r="L10" s="4">
        <f t="shared" si="0"/>
        <v>0.28680555555555554</v>
      </c>
      <c r="M10" s="3" t="s">
        <v>32</v>
      </c>
      <c r="N10" s="3" t="s">
        <v>48</v>
      </c>
      <c r="O10" s="3" t="s">
        <v>49</v>
      </c>
      <c r="P10" s="3" t="s">
        <v>50</v>
      </c>
      <c r="Q10" s="3" t="s">
        <v>36</v>
      </c>
      <c r="R10" s="3" t="s">
        <v>37</v>
      </c>
      <c r="S10" s="3" t="s">
        <v>37</v>
      </c>
      <c r="T10" s="3" t="s">
        <v>37</v>
      </c>
      <c r="U10" s="3" t="s">
        <v>37</v>
      </c>
      <c r="V10" s="3" t="s">
        <v>24</v>
      </c>
      <c r="W10" s="5">
        <v>44692.390451388892</v>
      </c>
    </row>
    <row r="11" spans="1:25" x14ac:dyDescent="0.25">
      <c r="A11" s="3">
        <v>9</v>
      </c>
      <c r="B11" s="3" t="s">
        <v>43</v>
      </c>
      <c r="C11" s="6">
        <v>44692</v>
      </c>
      <c r="D11" s="3" t="s">
        <v>44</v>
      </c>
      <c r="E11" s="3" t="s">
        <v>45</v>
      </c>
      <c r="F11" s="3" t="s">
        <v>28</v>
      </c>
      <c r="G11" s="3" t="s">
        <v>29</v>
      </c>
      <c r="H11" s="3" t="s">
        <v>46</v>
      </c>
      <c r="I11" s="3" t="s">
        <v>47</v>
      </c>
      <c r="J11" s="4">
        <v>0.21666666666666667</v>
      </c>
      <c r="K11" s="4">
        <v>0.50347222222222221</v>
      </c>
      <c r="L11" s="4">
        <f t="shared" si="0"/>
        <v>0.28680555555555554</v>
      </c>
      <c r="M11" s="3" t="s">
        <v>32</v>
      </c>
      <c r="N11" s="3" t="s">
        <v>48</v>
      </c>
      <c r="O11" s="3" t="s">
        <v>49</v>
      </c>
      <c r="P11" s="3" t="s">
        <v>51</v>
      </c>
      <c r="Q11" s="3" t="s">
        <v>36</v>
      </c>
      <c r="R11" s="3" t="s">
        <v>52</v>
      </c>
      <c r="S11" s="3" t="s">
        <v>53</v>
      </c>
      <c r="T11" s="3" t="s">
        <v>22</v>
      </c>
      <c r="U11" s="3" t="s">
        <v>22</v>
      </c>
      <c r="V11" s="3" t="s">
        <v>24</v>
      </c>
      <c r="W11" s="5">
        <v>44692.391076388885</v>
      </c>
    </row>
    <row r="12" spans="1:25" x14ac:dyDescent="0.25">
      <c r="A12" s="3">
        <v>10</v>
      </c>
      <c r="B12" s="3" t="s">
        <v>25</v>
      </c>
      <c r="C12" s="6">
        <v>44690</v>
      </c>
      <c r="D12" s="3" t="s">
        <v>38</v>
      </c>
      <c r="E12" s="3" t="s">
        <v>27</v>
      </c>
      <c r="F12" s="3" t="s">
        <v>28</v>
      </c>
      <c r="G12" s="3" t="s">
        <v>29</v>
      </c>
      <c r="H12" s="3" t="s">
        <v>30</v>
      </c>
      <c r="I12" s="3" t="s">
        <v>39</v>
      </c>
      <c r="J12" s="4">
        <v>0.58333333333333337</v>
      </c>
      <c r="K12" s="4">
        <v>0.70833333333333337</v>
      </c>
      <c r="L12" s="4" t="e">
        <f t="shared" si="0"/>
        <v>#VALUE!</v>
      </c>
      <c r="M12" s="3" t="s">
        <v>32</v>
      </c>
      <c r="N12" s="3" t="s">
        <v>40</v>
      </c>
      <c r="O12" s="3" t="s">
        <v>54</v>
      </c>
      <c r="P12" s="3" t="s">
        <v>42</v>
      </c>
      <c r="Q12" s="3" t="s">
        <v>36</v>
      </c>
      <c r="R12" s="3" t="s">
        <v>52</v>
      </c>
      <c r="S12" s="3" t="s">
        <v>55</v>
      </c>
      <c r="T12" s="3" t="s">
        <v>22</v>
      </c>
      <c r="U12" s="3" t="s">
        <v>22</v>
      </c>
      <c r="V12" s="3" t="s">
        <v>24</v>
      </c>
      <c r="W12" s="5">
        <v>44692.392245370371</v>
      </c>
    </row>
    <row r="13" spans="1:25" x14ac:dyDescent="0.25">
      <c r="A13" s="3">
        <v>11</v>
      </c>
      <c r="B13" s="3" t="s">
        <v>25</v>
      </c>
      <c r="C13" s="6">
        <v>44692</v>
      </c>
      <c r="D13" s="3" t="s">
        <v>56</v>
      </c>
      <c r="E13" s="3" t="s">
        <v>57</v>
      </c>
      <c r="F13" s="3" t="s">
        <v>28</v>
      </c>
      <c r="G13" s="3" t="s">
        <v>29</v>
      </c>
      <c r="H13" s="3" t="s">
        <v>58</v>
      </c>
      <c r="I13" s="3" t="s">
        <v>47</v>
      </c>
      <c r="J13" s="4">
        <v>0.23958333333333334</v>
      </c>
      <c r="K13" s="4">
        <v>0.51666666666666672</v>
      </c>
      <c r="L13" s="4" t="e">
        <f t="shared" si="0"/>
        <v>#VALUE!</v>
      </c>
      <c r="M13" s="3" t="s">
        <v>32</v>
      </c>
      <c r="N13" s="3" t="s">
        <v>59</v>
      </c>
      <c r="O13" s="3" t="s">
        <v>60</v>
      </c>
      <c r="P13" s="3" t="s">
        <v>61</v>
      </c>
      <c r="Q13" s="3" t="s">
        <v>23</v>
      </c>
      <c r="R13" s="3" t="s">
        <v>37</v>
      </c>
      <c r="S13" s="3" t="s">
        <v>37</v>
      </c>
      <c r="T13" s="3" t="s">
        <v>37</v>
      </c>
      <c r="U13" s="3" t="s">
        <v>37</v>
      </c>
      <c r="V13" s="3" t="s">
        <v>24</v>
      </c>
      <c r="W13" s="5">
        <v>44692.394629629627</v>
      </c>
    </row>
    <row r="14" spans="1:25" x14ac:dyDescent="0.25">
      <c r="A14" s="3">
        <v>12</v>
      </c>
      <c r="B14" s="3" t="s">
        <v>25</v>
      </c>
      <c r="C14" s="6">
        <v>44686</v>
      </c>
      <c r="D14" s="3" t="s">
        <v>38</v>
      </c>
      <c r="E14" s="3" t="s">
        <v>27</v>
      </c>
      <c r="F14" s="3" t="s">
        <v>28</v>
      </c>
      <c r="G14" s="3" t="s">
        <v>29</v>
      </c>
      <c r="H14" s="3" t="s">
        <v>30</v>
      </c>
      <c r="I14" s="3" t="s">
        <v>39</v>
      </c>
      <c r="J14" s="4">
        <v>0.58333333333333337</v>
      </c>
      <c r="K14" s="4">
        <v>0.70833333333333337</v>
      </c>
      <c r="L14" s="4">
        <f t="shared" si="0"/>
        <v>0</v>
      </c>
      <c r="M14" s="3" t="s">
        <v>32</v>
      </c>
      <c r="N14" s="3" t="s">
        <v>40</v>
      </c>
      <c r="O14" s="3" t="s">
        <v>41</v>
      </c>
      <c r="P14" s="3" t="s">
        <v>42</v>
      </c>
      <c r="Q14" s="3" t="s">
        <v>36</v>
      </c>
      <c r="R14" s="3" t="s">
        <v>37</v>
      </c>
      <c r="S14" s="3" t="s">
        <v>37</v>
      </c>
      <c r="T14" s="3" t="s">
        <v>37</v>
      </c>
      <c r="U14" s="3" t="s">
        <v>37</v>
      </c>
      <c r="V14" s="3" t="s">
        <v>24</v>
      </c>
      <c r="W14" s="5">
        <v>44692.389652777776</v>
      </c>
    </row>
    <row r="15" spans="1:25" x14ac:dyDescent="0.25">
      <c r="A15" s="3">
        <v>13</v>
      </c>
      <c r="B15" s="3" t="s">
        <v>43</v>
      </c>
      <c r="C15" s="6">
        <v>44686</v>
      </c>
      <c r="D15" s="3" t="s">
        <v>44</v>
      </c>
      <c r="E15" s="3" t="s">
        <v>45</v>
      </c>
      <c r="F15" s="3" t="s">
        <v>28</v>
      </c>
      <c r="G15" s="3" t="s">
        <v>29</v>
      </c>
      <c r="H15" s="3" t="s">
        <v>46</v>
      </c>
      <c r="I15" s="3" t="s">
        <v>47</v>
      </c>
      <c r="J15" s="4">
        <v>0.21666666666666667</v>
      </c>
      <c r="K15" s="4">
        <v>0.50347222222222221</v>
      </c>
      <c r="L15" s="4">
        <f t="shared" si="0"/>
        <v>0</v>
      </c>
      <c r="M15" s="3" t="s">
        <v>32</v>
      </c>
      <c r="N15" s="3" t="s">
        <v>48</v>
      </c>
      <c r="O15" s="3" t="s">
        <v>49</v>
      </c>
      <c r="P15" s="3" t="s">
        <v>50</v>
      </c>
      <c r="Q15" s="3" t="s">
        <v>36</v>
      </c>
      <c r="R15" s="3" t="s">
        <v>37</v>
      </c>
      <c r="S15" s="3" t="s">
        <v>37</v>
      </c>
      <c r="T15" s="3" t="s">
        <v>37</v>
      </c>
      <c r="U15" s="3" t="s">
        <v>37</v>
      </c>
      <c r="V15" s="3" t="s">
        <v>24</v>
      </c>
      <c r="W15" s="5">
        <v>44692.390451388892</v>
      </c>
    </row>
    <row r="16" spans="1:25" x14ac:dyDescent="0.25">
      <c r="A16" s="3">
        <v>14</v>
      </c>
      <c r="B16" s="3" t="s">
        <v>43</v>
      </c>
      <c r="C16" s="6">
        <v>44692</v>
      </c>
      <c r="D16" s="3" t="s">
        <v>44</v>
      </c>
      <c r="E16" s="3" t="s">
        <v>45</v>
      </c>
      <c r="F16" s="3" t="s">
        <v>28</v>
      </c>
      <c r="G16" s="3" t="s">
        <v>29</v>
      </c>
      <c r="H16" s="3" t="s">
        <v>46</v>
      </c>
      <c r="I16" s="3" t="s">
        <v>47</v>
      </c>
      <c r="J16" s="4">
        <v>0.21666666666666667</v>
      </c>
      <c r="K16" s="4">
        <v>0.50347222222222221</v>
      </c>
      <c r="L16" s="4">
        <f t="shared" si="0"/>
        <v>0</v>
      </c>
      <c r="M16" s="3" t="s">
        <v>32</v>
      </c>
      <c r="N16" s="3" t="s">
        <v>48</v>
      </c>
      <c r="O16" s="3" t="s">
        <v>49</v>
      </c>
      <c r="P16" s="3" t="s">
        <v>51</v>
      </c>
      <c r="Q16" s="3" t="s">
        <v>36</v>
      </c>
      <c r="R16" s="3" t="s">
        <v>52</v>
      </c>
      <c r="S16" s="3" t="s">
        <v>53</v>
      </c>
      <c r="T16" s="3" t="s">
        <v>22</v>
      </c>
      <c r="U16" s="3" t="s">
        <v>22</v>
      </c>
      <c r="V16" s="3" t="s">
        <v>24</v>
      </c>
      <c r="W16" s="5">
        <v>44692.391076388885</v>
      </c>
    </row>
    <row r="17" spans="1:23" x14ac:dyDescent="0.25">
      <c r="A17" s="3">
        <v>15</v>
      </c>
      <c r="B17" s="3" t="s">
        <v>146</v>
      </c>
      <c r="C17" s="6">
        <v>44693</v>
      </c>
      <c r="D17" s="3" t="s">
        <v>22</v>
      </c>
      <c r="E17" s="3" t="s">
        <v>22</v>
      </c>
      <c r="F17" s="3" t="s">
        <v>28</v>
      </c>
      <c r="G17" s="3" t="s">
        <v>29</v>
      </c>
      <c r="H17" s="3" t="s">
        <v>22</v>
      </c>
      <c r="I17" s="3" t="s">
        <v>22</v>
      </c>
      <c r="J17" s="4" t="s">
        <v>22</v>
      </c>
      <c r="K17" s="4" t="s">
        <v>22</v>
      </c>
      <c r="L17" s="4"/>
      <c r="M17" s="3" t="s">
        <v>32</v>
      </c>
      <c r="N17" s="3" t="s">
        <v>22</v>
      </c>
      <c r="O17" s="3" t="s">
        <v>22</v>
      </c>
      <c r="P17" s="3" t="s">
        <v>22</v>
      </c>
      <c r="Q17" s="3" t="s">
        <v>22</v>
      </c>
      <c r="R17" s="3" t="s">
        <v>37</v>
      </c>
      <c r="S17" s="3" t="s">
        <v>37</v>
      </c>
      <c r="T17" s="3" t="s">
        <v>37</v>
      </c>
      <c r="U17" s="3" t="s">
        <v>37</v>
      </c>
      <c r="V17" s="3" t="s">
        <v>142</v>
      </c>
      <c r="W17" s="5">
        <v>44693.610150462962</v>
      </c>
    </row>
    <row r="18" spans="1:23" x14ac:dyDescent="0.25">
      <c r="A18" s="3">
        <v>16</v>
      </c>
      <c r="B18" s="3" t="s">
        <v>145</v>
      </c>
      <c r="C18" s="6">
        <v>44693</v>
      </c>
      <c r="D18" s="3" t="s">
        <v>22</v>
      </c>
      <c r="E18" s="3" t="s">
        <v>22</v>
      </c>
      <c r="F18" s="3" t="s">
        <v>28</v>
      </c>
      <c r="G18" s="3" t="s">
        <v>29</v>
      </c>
      <c r="H18" s="3" t="s">
        <v>22</v>
      </c>
      <c r="I18" s="3" t="s">
        <v>22</v>
      </c>
      <c r="J18" s="4" t="s">
        <v>22</v>
      </c>
      <c r="K18" s="4" t="s">
        <v>22</v>
      </c>
      <c r="L18" s="4"/>
      <c r="M18" s="3" t="s">
        <v>32</v>
      </c>
      <c r="N18" s="3" t="s">
        <v>22</v>
      </c>
      <c r="O18" s="3" t="s">
        <v>22</v>
      </c>
      <c r="P18" s="3" t="s">
        <v>22</v>
      </c>
      <c r="Q18" s="3" t="s">
        <v>22</v>
      </c>
      <c r="R18" s="3" t="s">
        <v>37</v>
      </c>
      <c r="S18" s="3" t="s">
        <v>37</v>
      </c>
      <c r="T18" s="3" t="s">
        <v>37</v>
      </c>
      <c r="U18" s="3" t="s">
        <v>37</v>
      </c>
      <c r="V18" s="3" t="s">
        <v>142</v>
      </c>
      <c r="W18" s="5">
        <v>44693.675706018519</v>
      </c>
    </row>
    <row r="19" spans="1:23" x14ac:dyDescent="0.25">
      <c r="C19" s="6"/>
      <c r="L19" s="4"/>
    </row>
    <row r="20" spans="1:23" x14ac:dyDescent="0.25">
      <c r="C20" s="6"/>
      <c r="L20" s="4"/>
    </row>
    <row r="21" spans="1:23" x14ac:dyDescent="0.25">
      <c r="C21" s="6"/>
    </row>
    <row r="22" spans="1:23" x14ac:dyDescent="0.25">
      <c r="C22" s="6"/>
    </row>
    <row r="23" spans="1:23" x14ac:dyDescent="0.25">
      <c r="C23" s="6"/>
    </row>
    <row r="24" spans="1:23" x14ac:dyDescent="0.25">
      <c r="C24" s="6"/>
    </row>
    <row r="25" spans="1:23" x14ac:dyDescent="0.25">
      <c r="C25" s="6"/>
    </row>
    <row r="26" spans="1:23" x14ac:dyDescent="0.25">
      <c r="C26" s="6"/>
    </row>
    <row r="27" spans="1:23" x14ac:dyDescent="0.25">
      <c r="C27" s="6"/>
    </row>
    <row r="28" spans="1:23" x14ac:dyDescent="0.25">
      <c r="C28" s="6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59"/>
  <sheetViews>
    <sheetView workbookViewId="0">
      <selection activeCell="A54" sqref="A54"/>
    </sheetView>
  </sheetViews>
  <sheetFormatPr defaultRowHeight="13.8" x14ac:dyDescent="0.25"/>
  <cols>
    <col min="1" max="1" width="20.3984375" bestFit="1" customWidth="1"/>
    <col min="2" max="2" width="23" bestFit="1" customWidth="1"/>
    <col min="4" max="4" width="10.3984375" bestFit="1" customWidth="1"/>
  </cols>
  <sheetData>
    <row r="1" spans="1:4" x14ac:dyDescent="0.25">
      <c r="A1" t="s">
        <v>136</v>
      </c>
      <c r="B1" t="s">
        <v>137</v>
      </c>
      <c r="D1" t="s">
        <v>138</v>
      </c>
    </row>
    <row r="2" spans="1:4" x14ac:dyDescent="0.25">
      <c r="A2" t="s">
        <v>127</v>
      </c>
      <c r="B2" t="s">
        <v>94</v>
      </c>
      <c r="D2">
        <v>8769</v>
      </c>
    </row>
    <row r="3" spans="1:4" x14ac:dyDescent="0.25">
      <c r="A3" t="s">
        <v>108</v>
      </c>
      <c r="B3" t="s">
        <v>109</v>
      </c>
      <c r="D3">
        <v>2167</v>
      </c>
    </row>
    <row r="4" spans="1:4" x14ac:dyDescent="0.25">
      <c r="A4" t="s">
        <v>114</v>
      </c>
      <c r="B4" t="s">
        <v>94</v>
      </c>
      <c r="D4">
        <v>905212</v>
      </c>
    </row>
    <row r="5" spans="1:4" x14ac:dyDescent="0.25">
      <c r="A5" t="s">
        <v>79</v>
      </c>
      <c r="B5" t="s">
        <v>76</v>
      </c>
      <c r="D5">
        <v>8967</v>
      </c>
    </row>
    <row r="6" spans="1:4" x14ac:dyDescent="0.25">
      <c r="A6" t="s">
        <v>93</v>
      </c>
      <c r="B6" t="s">
        <v>94</v>
      </c>
      <c r="D6">
        <v>3498</v>
      </c>
    </row>
    <row r="7" spans="1:4" x14ac:dyDescent="0.25">
      <c r="A7" t="s">
        <v>65</v>
      </c>
      <c r="B7" t="s">
        <v>66</v>
      </c>
      <c r="D7">
        <v>8543</v>
      </c>
    </row>
    <row r="8" spans="1:4" x14ac:dyDescent="0.25">
      <c r="A8" s="9" t="s">
        <v>115</v>
      </c>
      <c r="B8" t="s">
        <v>116</v>
      </c>
      <c r="D8">
        <v>2703</v>
      </c>
    </row>
    <row r="9" spans="1:4" x14ac:dyDescent="0.25">
      <c r="A9" t="s">
        <v>78</v>
      </c>
      <c r="B9" t="s">
        <v>76</v>
      </c>
      <c r="D9">
        <v>4724</v>
      </c>
    </row>
    <row r="10" spans="1:4" x14ac:dyDescent="0.25">
      <c r="A10" t="s">
        <v>77</v>
      </c>
      <c r="B10" t="s">
        <v>76</v>
      </c>
      <c r="D10">
        <v>4723</v>
      </c>
    </row>
    <row r="11" spans="1:4" x14ac:dyDescent="0.25">
      <c r="A11" t="s">
        <v>83</v>
      </c>
      <c r="B11" t="s">
        <v>84</v>
      </c>
      <c r="D11">
        <v>47304</v>
      </c>
    </row>
    <row r="12" spans="1:4" x14ac:dyDescent="0.25">
      <c r="A12" t="s">
        <v>88</v>
      </c>
      <c r="B12" t="s">
        <v>84</v>
      </c>
      <c r="D12">
        <v>4303</v>
      </c>
    </row>
    <row r="13" spans="1:4" x14ac:dyDescent="0.25">
      <c r="A13" t="s">
        <v>128</v>
      </c>
      <c r="B13" t="s">
        <v>94</v>
      </c>
      <c r="D13">
        <v>9015</v>
      </c>
    </row>
    <row r="14" spans="1:4" x14ac:dyDescent="0.25">
      <c r="A14" t="s">
        <v>134</v>
      </c>
      <c r="B14" t="s">
        <v>84</v>
      </c>
      <c r="D14">
        <v>8941</v>
      </c>
    </row>
    <row r="15" spans="1:4" x14ac:dyDescent="0.25">
      <c r="A15" t="s">
        <v>80</v>
      </c>
      <c r="B15" t="s">
        <v>81</v>
      </c>
      <c r="D15">
        <v>4496</v>
      </c>
    </row>
    <row r="16" spans="1:4" x14ac:dyDescent="0.25">
      <c r="A16" t="s">
        <v>69</v>
      </c>
      <c r="B16" t="s">
        <v>68</v>
      </c>
      <c r="D16">
        <v>8219</v>
      </c>
    </row>
    <row r="17" spans="1:4" x14ac:dyDescent="0.25">
      <c r="A17" t="s">
        <v>95</v>
      </c>
      <c r="B17" t="s">
        <v>94</v>
      </c>
      <c r="D17">
        <v>8445</v>
      </c>
    </row>
    <row r="18" spans="1:4" x14ac:dyDescent="0.25">
      <c r="A18" t="s">
        <v>117</v>
      </c>
      <c r="B18" t="s">
        <v>76</v>
      </c>
      <c r="D18">
        <v>99970</v>
      </c>
    </row>
    <row r="19" spans="1:4" x14ac:dyDescent="0.25">
      <c r="A19" t="s">
        <v>67</v>
      </c>
      <c r="B19" t="s">
        <v>68</v>
      </c>
      <c r="D19">
        <v>8873</v>
      </c>
    </row>
    <row r="20" spans="1:4" x14ac:dyDescent="0.25">
      <c r="A20" t="s">
        <v>82</v>
      </c>
      <c r="B20" t="s">
        <v>81</v>
      </c>
      <c r="D20">
        <v>1779</v>
      </c>
    </row>
    <row r="21" spans="1:4" x14ac:dyDescent="0.25">
      <c r="A21" t="s">
        <v>86</v>
      </c>
      <c r="B21" t="s">
        <v>84</v>
      </c>
      <c r="D21">
        <v>39851</v>
      </c>
    </row>
    <row r="22" spans="1:4" x14ac:dyDescent="0.25">
      <c r="A22" t="s">
        <v>96</v>
      </c>
      <c r="B22" t="s">
        <v>94</v>
      </c>
      <c r="D22">
        <v>97470</v>
      </c>
    </row>
    <row r="23" spans="1:4" x14ac:dyDescent="0.25">
      <c r="A23" t="s">
        <v>90</v>
      </c>
      <c r="B23" t="s">
        <v>84</v>
      </c>
      <c r="D23">
        <v>44554</v>
      </c>
    </row>
    <row r="24" spans="1:4" x14ac:dyDescent="0.25">
      <c r="A24" t="s">
        <v>125</v>
      </c>
      <c r="B24" t="s">
        <v>76</v>
      </c>
      <c r="D24">
        <v>9047</v>
      </c>
    </row>
    <row r="25" spans="1:4" x14ac:dyDescent="0.25">
      <c r="A25" t="s">
        <v>118</v>
      </c>
      <c r="B25" t="s">
        <v>94</v>
      </c>
      <c r="D25">
        <v>5418</v>
      </c>
    </row>
    <row r="26" spans="1:4" x14ac:dyDescent="0.25">
      <c r="A26" t="s">
        <v>97</v>
      </c>
      <c r="B26" t="s">
        <v>94</v>
      </c>
      <c r="D26">
        <v>8983</v>
      </c>
    </row>
    <row r="27" spans="1:4" x14ac:dyDescent="0.25">
      <c r="A27" t="s">
        <v>132</v>
      </c>
      <c r="B27" t="s">
        <v>94</v>
      </c>
      <c r="D27">
        <v>905287</v>
      </c>
    </row>
    <row r="28" spans="1:4" x14ac:dyDescent="0.25">
      <c r="A28" t="s">
        <v>126</v>
      </c>
      <c r="B28" t="s">
        <v>94</v>
      </c>
      <c r="D28">
        <v>8766</v>
      </c>
    </row>
    <row r="29" spans="1:4" x14ac:dyDescent="0.25">
      <c r="A29" t="s">
        <v>87</v>
      </c>
      <c r="B29" t="s">
        <v>84</v>
      </c>
      <c r="D29">
        <v>7911</v>
      </c>
    </row>
    <row r="30" spans="1:4" x14ac:dyDescent="0.25">
      <c r="A30" t="s">
        <v>98</v>
      </c>
      <c r="B30" t="s">
        <v>94</v>
      </c>
      <c r="D30">
        <v>98173</v>
      </c>
    </row>
    <row r="31" spans="1:4" x14ac:dyDescent="0.25">
      <c r="A31" t="s">
        <v>62</v>
      </c>
      <c r="B31" t="s">
        <v>72</v>
      </c>
      <c r="D31">
        <v>9049</v>
      </c>
    </row>
    <row r="32" spans="1:4" x14ac:dyDescent="0.25">
      <c r="A32" t="s">
        <v>135</v>
      </c>
      <c r="B32" t="s">
        <v>76</v>
      </c>
      <c r="D32">
        <v>9039</v>
      </c>
    </row>
    <row r="33" spans="1:4" x14ac:dyDescent="0.25">
      <c r="A33" t="s">
        <v>111</v>
      </c>
      <c r="B33" t="s">
        <v>112</v>
      </c>
      <c r="D33">
        <v>46194</v>
      </c>
    </row>
    <row r="34" spans="1:4" x14ac:dyDescent="0.25">
      <c r="A34" t="s">
        <v>63</v>
      </c>
      <c r="B34" t="s">
        <v>64</v>
      </c>
      <c r="D34">
        <v>8959</v>
      </c>
    </row>
    <row r="35" spans="1:4" x14ac:dyDescent="0.25">
      <c r="A35" t="s">
        <v>89</v>
      </c>
      <c r="B35" t="s">
        <v>84</v>
      </c>
      <c r="D35">
        <v>9004</v>
      </c>
    </row>
    <row r="36" spans="1:4" x14ac:dyDescent="0.25">
      <c r="A36" t="s">
        <v>75</v>
      </c>
      <c r="B36" t="s">
        <v>76</v>
      </c>
      <c r="D36">
        <v>4559</v>
      </c>
    </row>
    <row r="37" spans="1:4" x14ac:dyDescent="0.25">
      <c r="A37" t="s">
        <v>99</v>
      </c>
      <c r="B37" t="s">
        <v>94</v>
      </c>
      <c r="D37">
        <v>8919</v>
      </c>
    </row>
    <row r="38" spans="1:4" x14ac:dyDescent="0.25">
      <c r="A38" t="s">
        <v>105</v>
      </c>
      <c r="B38" t="s">
        <v>94</v>
      </c>
      <c r="D38">
        <v>8988</v>
      </c>
    </row>
    <row r="39" spans="1:4" x14ac:dyDescent="0.25">
      <c r="A39" t="s">
        <v>122</v>
      </c>
      <c r="B39" t="s">
        <v>94</v>
      </c>
      <c r="D39">
        <v>9021</v>
      </c>
    </row>
    <row r="40" spans="1:4" x14ac:dyDescent="0.25">
      <c r="A40" t="s">
        <v>91</v>
      </c>
      <c r="B40" t="s">
        <v>84</v>
      </c>
      <c r="D40">
        <v>9035</v>
      </c>
    </row>
    <row r="41" spans="1:4" x14ac:dyDescent="0.25">
      <c r="A41" t="s">
        <v>85</v>
      </c>
      <c r="B41" t="s">
        <v>84</v>
      </c>
      <c r="D41">
        <v>45034</v>
      </c>
    </row>
    <row r="42" spans="1:4" x14ac:dyDescent="0.25">
      <c r="A42" t="s">
        <v>100</v>
      </c>
      <c r="B42" t="s">
        <v>94</v>
      </c>
      <c r="D42">
        <v>8079</v>
      </c>
    </row>
    <row r="43" spans="1:4" x14ac:dyDescent="0.25">
      <c r="A43" t="s">
        <v>119</v>
      </c>
      <c r="B43" t="s">
        <v>76</v>
      </c>
      <c r="D43">
        <v>800591</v>
      </c>
    </row>
    <row r="44" spans="1:4" x14ac:dyDescent="0.25">
      <c r="A44" t="s">
        <v>120</v>
      </c>
      <c r="B44" t="s">
        <v>121</v>
      </c>
      <c r="D44">
        <v>3222</v>
      </c>
    </row>
    <row r="45" spans="1:4" x14ac:dyDescent="0.25">
      <c r="A45" t="s">
        <v>123</v>
      </c>
      <c r="B45" t="s">
        <v>94</v>
      </c>
      <c r="D45">
        <v>9063</v>
      </c>
    </row>
    <row r="46" spans="1:4" x14ac:dyDescent="0.25">
      <c r="A46" t="s">
        <v>124</v>
      </c>
      <c r="B46" t="s">
        <v>94</v>
      </c>
      <c r="D46">
        <v>9082</v>
      </c>
    </row>
    <row r="47" spans="1:4" x14ac:dyDescent="0.25">
      <c r="A47" t="s">
        <v>101</v>
      </c>
      <c r="B47" t="s">
        <v>94</v>
      </c>
      <c r="D47">
        <v>6073</v>
      </c>
    </row>
    <row r="48" spans="1:4" x14ac:dyDescent="0.25">
      <c r="A48" t="s">
        <v>130</v>
      </c>
      <c r="B48" t="s">
        <v>131</v>
      </c>
      <c r="D48">
        <v>8310</v>
      </c>
    </row>
    <row r="49" spans="1:4" x14ac:dyDescent="0.25">
      <c r="A49" t="s">
        <v>102</v>
      </c>
      <c r="B49" t="s">
        <v>94</v>
      </c>
      <c r="D49">
        <v>6675</v>
      </c>
    </row>
    <row r="50" spans="1:4" x14ac:dyDescent="0.25">
      <c r="A50" t="s">
        <v>70</v>
      </c>
      <c r="B50" t="s">
        <v>71</v>
      </c>
      <c r="D50">
        <v>3394</v>
      </c>
    </row>
    <row r="51" spans="1:4" x14ac:dyDescent="0.25">
      <c r="A51" t="s">
        <v>92</v>
      </c>
      <c r="B51" t="s">
        <v>74</v>
      </c>
      <c r="D51">
        <v>98923</v>
      </c>
    </row>
    <row r="52" spans="1:4" x14ac:dyDescent="0.25">
      <c r="A52" t="s">
        <v>110</v>
      </c>
      <c r="B52" t="s">
        <v>109</v>
      </c>
      <c r="D52">
        <v>43605</v>
      </c>
    </row>
    <row r="53" spans="1:4" x14ac:dyDescent="0.25">
      <c r="A53" t="s">
        <v>129</v>
      </c>
      <c r="B53" t="s">
        <v>94</v>
      </c>
      <c r="D53">
        <v>44343</v>
      </c>
    </row>
    <row r="54" spans="1:4" x14ac:dyDescent="0.25">
      <c r="A54" t="s">
        <v>73</v>
      </c>
      <c r="B54" t="s">
        <v>74</v>
      </c>
      <c r="D54">
        <v>42561</v>
      </c>
    </row>
    <row r="55" spans="1:4" x14ac:dyDescent="0.25">
      <c r="A55" t="s">
        <v>133</v>
      </c>
      <c r="B55" t="s">
        <v>76</v>
      </c>
      <c r="D55">
        <v>8897</v>
      </c>
    </row>
    <row r="56" spans="1:4" x14ac:dyDescent="0.25">
      <c r="A56" t="s">
        <v>103</v>
      </c>
      <c r="B56" t="s">
        <v>94</v>
      </c>
      <c r="D56">
        <v>5366</v>
      </c>
    </row>
    <row r="57" spans="1:4" x14ac:dyDescent="0.25">
      <c r="A57" t="s">
        <v>104</v>
      </c>
      <c r="B57" t="s">
        <v>94</v>
      </c>
      <c r="D57">
        <v>46062</v>
      </c>
    </row>
    <row r="58" spans="1:4" x14ac:dyDescent="0.25">
      <c r="A58" t="s">
        <v>113</v>
      </c>
      <c r="B58" t="s">
        <v>112</v>
      </c>
      <c r="D58">
        <v>4613</v>
      </c>
    </row>
    <row r="59" spans="1:4" x14ac:dyDescent="0.25">
      <c r="A59" t="s">
        <v>106</v>
      </c>
      <c r="B59" t="s">
        <v>107</v>
      </c>
      <c r="D59">
        <v>97465</v>
      </c>
    </row>
  </sheetData>
  <sortState ref="A2:D61">
    <sortCondition ref="A1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A1:U8"/>
  <sheetViews>
    <sheetView topLeftCell="K1" workbookViewId="0">
      <selection activeCell="U8" sqref="U8"/>
    </sheetView>
  </sheetViews>
  <sheetFormatPr defaultRowHeight="13.8" x14ac:dyDescent="0.25"/>
  <cols>
    <col min="3" max="3" width="9.8984375" style="1" bestFit="1" customWidth="1"/>
    <col min="10" max="12" width="9" style="2"/>
  </cols>
  <sheetData>
    <row r="1" spans="1:21" x14ac:dyDescent="0.25">
      <c r="A1" t="s">
        <v>16</v>
      </c>
      <c r="B1" t="s">
        <v>18</v>
      </c>
      <c r="C1" s="1" t="s">
        <v>0</v>
      </c>
      <c r="D1" t="s">
        <v>19</v>
      </c>
      <c r="E1" t="s">
        <v>20</v>
      </c>
      <c r="F1" t="s">
        <v>1</v>
      </c>
      <c r="G1" t="s">
        <v>2</v>
      </c>
      <c r="H1" t="s">
        <v>10</v>
      </c>
      <c r="I1" t="s">
        <v>21</v>
      </c>
      <c r="J1" s="2" t="s">
        <v>4</v>
      </c>
      <c r="K1" s="2" t="s">
        <v>5</v>
      </c>
      <c r="L1" s="2" t="s">
        <v>15</v>
      </c>
      <c r="M1" t="s">
        <v>3</v>
      </c>
      <c r="N1" t="s">
        <v>6</v>
      </c>
      <c r="O1" t="s">
        <v>7</v>
      </c>
      <c r="P1" t="s">
        <v>8</v>
      </c>
      <c r="Q1" t="s">
        <v>9</v>
      </c>
      <c r="R1" t="s">
        <v>11</v>
      </c>
      <c r="S1" t="s">
        <v>12</v>
      </c>
      <c r="T1" t="s">
        <v>13</v>
      </c>
      <c r="U1" t="s">
        <v>14</v>
      </c>
    </row>
    <row r="2" spans="1:21" x14ac:dyDescent="0.25">
      <c r="A2">
        <v>2</v>
      </c>
      <c r="B2" t="s">
        <v>25</v>
      </c>
      <c r="C2" s="1">
        <v>44688</v>
      </c>
      <c r="D2" t="s">
        <v>38</v>
      </c>
      <c r="E2" t="s">
        <v>27</v>
      </c>
      <c r="F2" t="s">
        <v>28</v>
      </c>
      <c r="G2" t="s">
        <v>29</v>
      </c>
      <c r="H2" t="s">
        <v>30</v>
      </c>
      <c r="I2" t="s">
        <v>39</v>
      </c>
      <c r="J2" s="2">
        <v>0.58333333333333337</v>
      </c>
      <c r="K2" s="2">
        <v>0.70833333333333337</v>
      </c>
      <c r="L2" s="2">
        <v>0.125</v>
      </c>
      <c r="M2" t="s">
        <v>32</v>
      </c>
      <c r="N2" t="s">
        <v>40</v>
      </c>
      <c r="O2" t="s">
        <v>41</v>
      </c>
      <c r="P2" t="s">
        <v>42</v>
      </c>
      <c r="Q2" t="s">
        <v>36</v>
      </c>
      <c r="R2" t="s">
        <v>37</v>
      </c>
      <c r="S2" t="s">
        <v>37</v>
      </c>
      <c r="T2" t="s">
        <v>37</v>
      </c>
      <c r="U2" t="s">
        <v>37</v>
      </c>
    </row>
    <row r="3" spans="1:21" x14ac:dyDescent="0.25">
      <c r="A3">
        <v>5</v>
      </c>
      <c r="B3" t="s">
        <v>25</v>
      </c>
      <c r="C3" s="1">
        <v>44692</v>
      </c>
      <c r="D3" t="s">
        <v>38</v>
      </c>
      <c r="E3" t="s">
        <v>27</v>
      </c>
      <c r="F3" t="s">
        <v>28</v>
      </c>
      <c r="G3" t="s">
        <v>29</v>
      </c>
      <c r="H3" t="s">
        <v>30</v>
      </c>
      <c r="I3" t="s">
        <v>39</v>
      </c>
      <c r="J3" s="2">
        <v>0.58333333333333337</v>
      </c>
      <c r="K3" s="2">
        <v>0.70833333333333337</v>
      </c>
      <c r="L3" s="2">
        <v>0.125</v>
      </c>
      <c r="M3" t="s">
        <v>32</v>
      </c>
      <c r="N3" t="s">
        <v>40</v>
      </c>
      <c r="O3" t="s">
        <v>54</v>
      </c>
      <c r="P3" t="s">
        <v>42</v>
      </c>
      <c r="Q3" t="s">
        <v>36</v>
      </c>
      <c r="R3" t="s">
        <v>52</v>
      </c>
      <c r="S3" t="s">
        <v>55</v>
      </c>
      <c r="T3" t="s">
        <v>22</v>
      </c>
      <c r="U3" t="s">
        <v>22</v>
      </c>
    </row>
    <row r="4" spans="1:21" x14ac:dyDescent="0.25">
      <c r="A4">
        <v>7</v>
      </c>
      <c r="B4" t="s">
        <v>25</v>
      </c>
      <c r="C4" s="1">
        <v>44690</v>
      </c>
      <c r="D4" t="s">
        <v>38</v>
      </c>
      <c r="E4" t="s">
        <v>27</v>
      </c>
      <c r="F4" t="s">
        <v>28</v>
      </c>
      <c r="G4" t="s">
        <v>29</v>
      </c>
      <c r="H4" t="s">
        <v>30</v>
      </c>
      <c r="I4" t="s">
        <v>39</v>
      </c>
      <c r="J4" s="2">
        <v>0.58333333333333337</v>
      </c>
      <c r="K4" s="2">
        <v>0.70833333333333337</v>
      </c>
      <c r="L4" s="2">
        <v>0.125</v>
      </c>
      <c r="M4" t="s">
        <v>32</v>
      </c>
      <c r="N4" t="s">
        <v>40</v>
      </c>
      <c r="O4" t="s">
        <v>41</v>
      </c>
      <c r="P4" t="s">
        <v>42</v>
      </c>
      <c r="Q4" t="s">
        <v>36</v>
      </c>
      <c r="R4" t="s">
        <v>37</v>
      </c>
      <c r="S4" t="s">
        <v>37</v>
      </c>
      <c r="T4" t="s">
        <v>37</v>
      </c>
      <c r="U4" t="s">
        <v>37</v>
      </c>
    </row>
    <row r="5" spans="1:21" x14ac:dyDescent="0.25">
      <c r="A5">
        <v>10</v>
      </c>
      <c r="B5" t="s">
        <v>25</v>
      </c>
      <c r="C5" s="1">
        <v>44690</v>
      </c>
      <c r="D5" t="s">
        <v>38</v>
      </c>
      <c r="E5" t="s">
        <v>27</v>
      </c>
      <c r="F5" t="s">
        <v>28</v>
      </c>
      <c r="G5" t="s">
        <v>29</v>
      </c>
      <c r="H5" t="s">
        <v>30</v>
      </c>
      <c r="I5" t="s">
        <v>39</v>
      </c>
      <c r="J5" s="2">
        <v>0.58333333333333337</v>
      </c>
      <c r="K5" s="2">
        <v>0.70833333333333337</v>
      </c>
      <c r="L5" s="2">
        <v>0.125</v>
      </c>
      <c r="M5" t="s">
        <v>32</v>
      </c>
      <c r="N5" t="s">
        <v>40</v>
      </c>
      <c r="O5" t="s">
        <v>54</v>
      </c>
      <c r="P5" t="s">
        <v>42</v>
      </c>
      <c r="Q5" t="s">
        <v>36</v>
      </c>
      <c r="R5" t="s">
        <v>52</v>
      </c>
      <c r="S5" t="s">
        <v>55</v>
      </c>
      <c r="T5" t="s">
        <v>22</v>
      </c>
      <c r="U5" t="s">
        <v>22</v>
      </c>
    </row>
    <row r="6" spans="1:21" x14ac:dyDescent="0.25">
      <c r="A6">
        <v>12</v>
      </c>
      <c r="B6" t="s">
        <v>25</v>
      </c>
      <c r="C6" s="1">
        <v>44686</v>
      </c>
      <c r="D6" t="s">
        <v>38</v>
      </c>
      <c r="E6" t="s">
        <v>27</v>
      </c>
      <c r="F6" t="s">
        <v>28</v>
      </c>
      <c r="G6" t="s">
        <v>29</v>
      </c>
      <c r="H6" t="s">
        <v>30</v>
      </c>
      <c r="I6" t="s">
        <v>39</v>
      </c>
      <c r="J6" s="2">
        <v>0.58333333333333337</v>
      </c>
      <c r="K6" s="2">
        <v>0.70833333333333337</v>
      </c>
      <c r="L6" s="2">
        <v>0.28680555555555498</v>
      </c>
      <c r="M6" t="s">
        <v>32</v>
      </c>
      <c r="N6" t="s">
        <v>40</v>
      </c>
      <c r="O6" t="s">
        <v>41</v>
      </c>
      <c r="P6" t="s">
        <v>42</v>
      </c>
      <c r="Q6" t="s">
        <v>36</v>
      </c>
      <c r="R6" t="s">
        <v>37</v>
      </c>
      <c r="S6" t="s">
        <v>37</v>
      </c>
      <c r="T6" t="s">
        <v>37</v>
      </c>
      <c r="U6" t="s">
        <v>37</v>
      </c>
    </row>
    <row r="7" spans="1:21" x14ac:dyDescent="0.25">
      <c r="A7">
        <v>15</v>
      </c>
      <c r="B7" t="s">
        <v>25</v>
      </c>
      <c r="C7" s="1">
        <v>44692</v>
      </c>
      <c r="D7" t="s">
        <v>38</v>
      </c>
      <c r="E7" t="s">
        <v>27</v>
      </c>
      <c r="F7" t="s">
        <v>28</v>
      </c>
      <c r="G7" t="s">
        <v>29</v>
      </c>
      <c r="H7" t="s">
        <v>30</v>
      </c>
      <c r="I7" t="s">
        <v>39</v>
      </c>
      <c r="J7" s="2">
        <v>0.58333333333333337</v>
      </c>
      <c r="K7" s="2">
        <v>0.70833333333333337</v>
      </c>
      <c r="L7" s="2" t="e">
        <v>#VALUE!</v>
      </c>
      <c r="M7" t="s">
        <v>32</v>
      </c>
      <c r="N7" t="s">
        <v>40</v>
      </c>
      <c r="O7" t="s">
        <v>54</v>
      </c>
      <c r="P7" t="s">
        <v>42</v>
      </c>
      <c r="Q7" t="s">
        <v>36</v>
      </c>
      <c r="R7" t="s">
        <v>52</v>
      </c>
      <c r="S7" t="s">
        <v>55</v>
      </c>
      <c r="T7" t="s">
        <v>22</v>
      </c>
      <c r="U7" t="s">
        <v>22</v>
      </c>
    </row>
    <row r="8" spans="1:21" x14ac:dyDescent="0.25">
      <c r="A8">
        <v>24</v>
      </c>
      <c r="B8" t="s">
        <v>25</v>
      </c>
      <c r="C8" s="1">
        <v>44693</v>
      </c>
      <c r="D8" t="s">
        <v>38</v>
      </c>
      <c r="E8" t="s">
        <v>27</v>
      </c>
      <c r="F8" t="s">
        <v>28</v>
      </c>
      <c r="G8" t="s">
        <v>29</v>
      </c>
      <c r="H8" t="s">
        <v>30</v>
      </c>
      <c r="I8" t="s">
        <v>39</v>
      </c>
      <c r="J8" s="2" t="s">
        <v>140</v>
      </c>
      <c r="K8" s="2" t="s">
        <v>141</v>
      </c>
      <c r="M8" t="s">
        <v>32</v>
      </c>
      <c r="N8" t="s">
        <v>40</v>
      </c>
      <c r="O8" t="s">
        <v>41</v>
      </c>
      <c r="P8" t="s">
        <v>42</v>
      </c>
      <c r="Q8" t="s">
        <v>36</v>
      </c>
      <c r="R8" t="s">
        <v>37</v>
      </c>
      <c r="S8" t="s">
        <v>37</v>
      </c>
      <c r="T8" t="s">
        <v>37</v>
      </c>
      <c r="U8" t="s">
        <v>143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>
    <tabColor theme="0" tint="-0.499984740745262"/>
  </sheetPr>
  <dimension ref="A1:AG16"/>
  <sheetViews>
    <sheetView workbookViewId="0">
      <selection activeCell="A3" sqref="A3"/>
    </sheetView>
  </sheetViews>
  <sheetFormatPr defaultColWidth="9" defaultRowHeight="13.8" x14ac:dyDescent="0.25"/>
  <cols>
    <col min="1" max="1" width="2.59765625" style="10" bestFit="1" customWidth="1"/>
    <col min="2" max="2" width="9.8984375" style="10" bestFit="1" customWidth="1"/>
    <col min="3" max="8" width="7.5" style="12" bestFit="1" customWidth="1"/>
    <col min="9" max="10" width="11.796875" style="12" bestFit="1" customWidth="1"/>
    <col min="11" max="11" width="11.796875" style="16" bestFit="1" customWidth="1"/>
    <col min="12" max="14" width="7.09765625" style="12" bestFit="1" customWidth="1"/>
    <col min="15" max="17" width="7.19921875" style="12" bestFit="1" customWidth="1"/>
    <col min="18" max="19" width="11.796875" style="12" bestFit="1" customWidth="1"/>
    <col min="20" max="20" width="11.796875" style="16" bestFit="1" customWidth="1"/>
    <col min="21" max="26" width="7.5" style="12" bestFit="1" customWidth="1"/>
    <col min="27" max="28" width="11.796875" style="12" bestFit="1" customWidth="1"/>
    <col min="29" max="29" width="11.796875" style="16" bestFit="1" customWidth="1"/>
    <col min="30" max="30" width="6.8984375" style="12" bestFit="1" customWidth="1"/>
    <col min="31" max="31" width="7.19921875" style="12" bestFit="1" customWidth="1"/>
    <col min="32" max="32" width="12.796875" style="12" bestFit="1" customWidth="1"/>
    <col min="33" max="33" width="15" style="10" bestFit="1" customWidth="1"/>
    <col min="34" max="16384" width="9" style="10"/>
  </cols>
  <sheetData>
    <row r="1" spans="1:33" s="15" customFormat="1" ht="55.2" x14ac:dyDescent="0.25">
      <c r="A1" s="15" t="s">
        <v>16</v>
      </c>
      <c r="B1" s="15" t="s">
        <v>144</v>
      </c>
      <c r="C1" s="17" t="s">
        <v>147</v>
      </c>
      <c r="D1" s="17" t="s">
        <v>148</v>
      </c>
      <c r="E1" s="17" t="s">
        <v>149</v>
      </c>
      <c r="F1" s="17" t="s">
        <v>150</v>
      </c>
      <c r="G1" s="17" t="s">
        <v>151</v>
      </c>
      <c r="H1" s="17" t="s">
        <v>152</v>
      </c>
      <c r="I1" s="17" t="s">
        <v>153</v>
      </c>
      <c r="J1" s="17" t="s">
        <v>154</v>
      </c>
      <c r="K1" s="18" t="s">
        <v>155</v>
      </c>
      <c r="L1" s="17" t="s">
        <v>156</v>
      </c>
      <c r="M1" s="17" t="s">
        <v>157</v>
      </c>
      <c r="N1" s="17" t="s">
        <v>158</v>
      </c>
      <c r="O1" s="17" t="s">
        <v>159</v>
      </c>
      <c r="P1" s="17" t="s">
        <v>160</v>
      </c>
      <c r="Q1" s="17" t="s">
        <v>161</v>
      </c>
      <c r="R1" s="17" t="s">
        <v>162</v>
      </c>
      <c r="S1" s="17" t="s">
        <v>163</v>
      </c>
      <c r="T1" s="18" t="s">
        <v>164</v>
      </c>
      <c r="U1" s="17" t="s">
        <v>165</v>
      </c>
      <c r="V1" s="17" t="s">
        <v>166</v>
      </c>
      <c r="W1" s="17" t="s">
        <v>167</v>
      </c>
      <c r="X1" s="17" t="s">
        <v>168</v>
      </c>
      <c r="Y1" s="17" t="s">
        <v>169</v>
      </c>
      <c r="Z1" s="17" t="s">
        <v>170</v>
      </c>
      <c r="AA1" s="17" t="s">
        <v>171</v>
      </c>
      <c r="AB1" s="17" t="s">
        <v>172</v>
      </c>
      <c r="AC1" s="18" t="s">
        <v>173</v>
      </c>
      <c r="AD1" s="17" t="s">
        <v>174</v>
      </c>
      <c r="AE1" s="17" t="s">
        <v>175</v>
      </c>
      <c r="AF1" s="17" t="s">
        <v>176</v>
      </c>
      <c r="AG1" s="14" t="s">
        <v>177</v>
      </c>
    </row>
    <row r="2" spans="1:33" x14ac:dyDescent="0.25">
      <c r="A2" s="10">
        <v>0</v>
      </c>
      <c r="B2" s="11">
        <v>1</v>
      </c>
      <c r="C2" s="12">
        <v>0</v>
      </c>
      <c r="D2" s="12">
        <v>0</v>
      </c>
      <c r="E2" s="12">
        <v>0</v>
      </c>
      <c r="F2" s="12">
        <v>0</v>
      </c>
      <c r="G2" s="12">
        <v>0</v>
      </c>
      <c r="H2" s="12">
        <v>0</v>
      </c>
      <c r="I2" s="12">
        <v>0</v>
      </c>
      <c r="J2" s="12">
        <v>0</v>
      </c>
      <c r="K2" s="16">
        <v>0</v>
      </c>
      <c r="L2" s="12">
        <v>0</v>
      </c>
      <c r="M2" s="12">
        <v>0</v>
      </c>
      <c r="N2" s="12">
        <v>0</v>
      </c>
      <c r="O2" s="12">
        <v>0</v>
      </c>
      <c r="P2" s="12">
        <v>0</v>
      </c>
      <c r="Q2" s="12">
        <v>0</v>
      </c>
      <c r="R2" s="12">
        <v>0</v>
      </c>
      <c r="S2" s="12">
        <v>0</v>
      </c>
      <c r="T2" s="16">
        <v>0</v>
      </c>
      <c r="U2" s="12">
        <v>0</v>
      </c>
      <c r="V2" s="12">
        <v>0</v>
      </c>
      <c r="W2" s="12">
        <v>0</v>
      </c>
      <c r="X2" s="12">
        <v>0</v>
      </c>
      <c r="Y2" s="12">
        <v>0</v>
      </c>
      <c r="Z2" s="12">
        <v>0</v>
      </c>
      <c r="AA2" s="12">
        <v>0</v>
      </c>
      <c r="AB2" s="12">
        <v>0</v>
      </c>
      <c r="AC2" s="16">
        <v>0</v>
      </c>
      <c r="AD2" s="12">
        <v>0</v>
      </c>
      <c r="AE2" s="12">
        <v>0</v>
      </c>
      <c r="AF2" s="12">
        <v>0</v>
      </c>
      <c r="AG2" s="13">
        <v>1</v>
      </c>
    </row>
    <row r="3" spans="1:33" x14ac:dyDescent="0.25">
      <c r="A3" s="10">
        <v>1</v>
      </c>
      <c r="B3" s="11">
        <v>44693</v>
      </c>
      <c r="C3" s="19">
        <v>4</v>
      </c>
      <c r="D3" s="12">
        <v>0</v>
      </c>
      <c r="E3" s="12">
        <v>0</v>
      </c>
      <c r="F3" s="12">
        <v>0</v>
      </c>
      <c r="G3" s="12">
        <v>34</v>
      </c>
      <c r="H3" s="19">
        <v>34</v>
      </c>
      <c r="I3" s="12">
        <v>0</v>
      </c>
      <c r="J3" s="19">
        <v>0</v>
      </c>
      <c r="K3" s="16">
        <v>0</v>
      </c>
      <c r="L3" s="12">
        <v>0</v>
      </c>
      <c r="M3" s="12">
        <v>0</v>
      </c>
      <c r="N3" s="12">
        <v>0</v>
      </c>
      <c r="O3" s="12">
        <v>0</v>
      </c>
      <c r="P3" s="12">
        <v>0</v>
      </c>
      <c r="Q3" s="12">
        <v>0</v>
      </c>
      <c r="R3" s="12">
        <v>0</v>
      </c>
      <c r="S3" s="12">
        <v>0</v>
      </c>
      <c r="T3" s="16">
        <v>0</v>
      </c>
      <c r="U3" s="12">
        <v>0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v>0</v>
      </c>
      <c r="AB3" s="12">
        <v>0</v>
      </c>
      <c r="AC3" s="16">
        <v>0</v>
      </c>
      <c r="AD3" s="12">
        <v>0</v>
      </c>
      <c r="AE3" s="12">
        <v>0</v>
      </c>
      <c r="AF3" s="12">
        <v>0</v>
      </c>
      <c r="AG3" s="13">
        <v>44693.675486111111</v>
      </c>
    </row>
    <row r="4" spans="1:33" x14ac:dyDescent="0.25">
      <c r="B4" s="11"/>
      <c r="AG4" s="13"/>
    </row>
    <row r="5" spans="1:33" x14ac:dyDescent="0.25">
      <c r="B5" s="11"/>
      <c r="AG5" s="13"/>
    </row>
    <row r="6" spans="1:33" x14ac:dyDescent="0.25">
      <c r="AG6" s="13"/>
    </row>
    <row r="7" spans="1:33" x14ac:dyDescent="0.25">
      <c r="AG7" s="13"/>
    </row>
    <row r="8" spans="1:33" x14ac:dyDescent="0.25">
      <c r="AG8" s="13"/>
    </row>
    <row r="9" spans="1:33" x14ac:dyDescent="0.25">
      <c r="AG9" s="13"/>
    </row>
    <row r="10" spans="1:33" x14ac:dyDescent="0.25">
      <c r="AG10" s="13"/>
    </row>
    <row r="11" spans="1:33" x14ac:dyDescent="0.25">
      <c r="AG11" s="13"/>
    </row>
    <row r="12" spans="1:33" x14ac:dyDescent="0.25">
      <c r="AG12" s="13"/>
    </row>
    <row r="13" spans="1:33" x14ac:dyDescent="0.25">
      <c r="AG13" s="13"/>
    </row>
    <row r="14" spans="1:33" x14ac:dyDescent="0.25">
      <c r="AG14" s="13"/>
    </row>
    <row r="15" spans="1:33" x14ac:dyDescent="0.25">
      <c r="AG15" s="13"/>
    </row>
    <row r="16" spans="1:33" x14ac:dyDescent="0.25">
      <c r="AG16" s="1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adatok</vt:lpstr>
      <vt:lpstr>névsor</vt:lpstr>
      <vt:lpstr>transfer</vt:lpstr>
      <vt:lpstr>Létszám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cp:lastPrinted>2022-05-12T09:43:59Z</cp:lastPrinted>
  <dcterms:created xsi:type="dcterms:W3CDTF">2022-04-29T12:24:12Z</dcterms:created>
  <dcterms:modified xsi:type="dcterms:W3CDTF">2022-05-12T14:13:01Z</dcterms:modified>
</cp:coreProperties>
</file>